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\Documents\GitHub\PDA-Acquisition\"/>
    </mc:Choice>
  </mc:AlternateContent>
  <xr:revisionPtr revIDLastSave="0" documentId="13_ncr:1_{C653B48B-828D-4F37-835B-FA7C73E7D456}" xr6:coauthVersionLast="47" xr6:coauthVersionMax="47" xr10:uidLastSave="{00000000-0000-0000-0000-000000000000}"/>
  <bookViews>
    <workbookView xWindow="760" yWindow="-110" windowWidth="18550" windowHeight="12220" activeTab="2" xr2:uid="{CB7EA015-0116-4C08-8E78-FEDCFC998C39}"/>
  </bookViews>
  <sheets>
    <sheet name="Chart2" sheetId="3" r:id="rId1"/>
    <sheet name="Chart1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6" i="1" l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<sst xmlns="http://schemas.openxmlformats.org/spreadsheetml/2006/main" count="34" uniqueCount="32">
  <si>
    <t>id</t>
  </si>
  <si>
    <t>stoma_count</t>
  </si>
  <si>
    <t>leaf_area_pixels</t>
  </si>
  <si>
    <t>x_microns</t>
  </si>
  <si>
    <t>y_microns</t>
  </si>
  <si>
    <t>leaf_area_u_sq</t>
  </si>
  <si>
    <t>specific_area</t>
  </si>
  <si>
    <t>density</t>
  </si>
  <si>
    <t>cot1</t>
  </si>
  <si>
    <t>cot2</t>
  </si>
  <si>
    <t>cot3</t>
  </si>
  <si>
    <t>cot4</t>
  </si>
  <si>
    <t>cot5</t>
  </si>
  <si>
    <t>cot6</t>
  </si>
  <si>
    <t>cotE01</t>
  </si>
  <si>
    <t>cotE02</t>
  </si>
  <si>
    <t>cotE03</t>
  </si>
  <si>
    <t>cotE04</t>
  </si>
  <si>
    <t>cotE05</t>
  </si>
  <si>
    <t>cotE06</t>
  </si>
  <si>
    <t>cotE07</t>
  </si>
  <si>
    <t>cotE08</t>
  </si>
  <si>
    <t>cotE09</t>
  </si>
  <si>
    <t>cotE10</t>
  </si>
  <si>
    <t>cotE13</t>
  </si>
  <si>
    <t>cotR0</t>
  </si>
  <si>
    <t>cotR1</t>
  </si>
  <si>
    <t>cotR2</t>
  </si>
  <si>
    <t>cotR3</t>
  </si>
  <si>
    <t>cotR4</t>
  </si>
  <si>
    <t>cotR5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</si>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</sst>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Sheet1!$A$25:$I$5222</c:f>
              <c:multiLvlStrCache>
                <c:ptCount val="2"/>
                <c:lvl>
                  <c:pt idx="0">
                    <c:v>0.000136262</c:v>
                  </c:pt>
                  <c:pt idx="1">
                    <c:v>0.000151874</c:v>
                  </c:pt>
                </c:lvl>
                <c:lvl>
                  <c:pt idx="0">
                    <c:v>7338.792166</c:v>
                  </c:pt>
                  <c:pt idx="1">
                    <c:v>6584.412357</c:v>
                  </c:pt>
                </c:lvl>
                <c:lvl>
                  <c:pt idx="0">
                    <c:v>2164943.689</c:v>
                  </c:pt>
                  <c:pt idx="1">
                    <c:v>2034583.418</c:v>
                  </c:pt>
                </c:lvl>
                <c:lvl>
                  <c:pt idx="0">
                    <c:v>0.5681818</c:v>
                  </c:pt>
                  <c:pt idx="1">
                    <c:v>0.5681818</c:v>
                  </c:pt>
                </c:lvl>
                <c:lvl>
                  <c:pt idx="0">
                    <c:v>0.5681818</c:v>
                  </c:pt>
                  <c:pt idx="1">
                    <c:v>0.5681818</c:v>
                  </c:pt>
                </c:lvl>
                <c:lvl>
                  <c:pt idx="0">
                    <c:v>6706130</c:v>
                  </c:pt>
                  <c:pt idx="1">
                    <c:v>6302326</c:v>
                  </c:pt>
                </c:lvl>
                <c:lvl>
                  <c:pt idx="0">
                    <c:v>295</c:v>
                  </c:pt>
                  <c:pt idx="1">
                    <c:v>309</c:v>
                  </c:pt>
                </c:lvl>
                <c:lvl>
                  <c:pt idx="0">
                    <c:v>7</c:v>
                  </c:pt>
                  <c:pt idx="1">
                    <c:v>7</c:v>
                  </c:pt>
                </c:lvl>
                <c:lvl>
                  <c:pt idx="0">
                    <c:v>cotR4</c:v>
                  </c:pt>
                  <c:pt idx="1">
                    <c:v>cotR5</c:v>
                  </c:pt>
                </c:lvl>
              </c:multiLvlStrCache>
            </c:multiLvl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736-4C54-9279-45B75D73A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8628991"/>
        <c:axId val="1378634815"/>
      </c:barChart>
      <c:catAx>
        <c:axId val="137862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634815"/>
        <c:crosses val="autoZero"/>
        <c:auto val="1"/>
        <c:lblAlgn val="ctr"/>
        <c:lblOffset val="100"/>
        <c:noMultiLvlLbl val="0"/>
      </c:catAx>
      <c:valAx>
        <c:axId val="137863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628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Sheet1!$A$25:$I$5222</c:f>
              <c:multiLvlStrCache>
                <c:ptCount val="2"/>
                <c:lvl>
                  <c:pt idx="0">
                    <c:v>0.000136262</c:v>
                  </c:pt>
                  <c:pt idx="1">
                    <c:v>0.000151874</c:v>
                  </c:pt>
                </c:lvl>
                <c:lvl>
                  <c:pt idx="0">
                    <c:v>7338.792166</c:v>
                  </c:pt>
                  <c:pt idx="1">
                    <c:v>6584.412357</c:v>
                  </c:pt>
                </c:lvl>
                <c:lvl>
                  <c:pt idx="0">
                    <c:v>2164943.689</c:v>
                  </c:pt>
                  <c:pt idx="1">
                    <c:v>2034583.418</c:v>
                  </c:pt>
                </c:lvl>
                <c:lvl>
                  <c:pt idx="0">
                    <c:v>0.5681818</c:v>
                  </c:pt>
                  <c:pt idx="1">
                    <c:v>0.5681818</c:v>
                  </c:pt>
                </c:lvl>
                <c:lvl>
                  <c:pt idx="0">
                    <c:v>0.5681818</c:v>
                  </c:pt>
                  <c:pt idx="1">
                    <c:v>0.5681818</c:v>
                  </c:pt>
                </c:lvl>
                <c:lvl>
                  <c:pt idx="0">
                    <c:v>6706130</c:v>
                  </c:pt>
                  <c:pt idx="1">
                    <c:v>6302326</c:v>
                  </c:pt>
                </c:lvl>
                <c:lvl>
                  <c:pt idx="0">
                    <c:v>295</c:v>
                  </c:pt>
                  <c:pt idx="1">
                    <c:v>309</c:v>
                  </c:pt>
                </c:lvl>
                <c:lvl>
                  <c:pt idx="0">
                    <c:v>7</c:v>
                  </c:pt>
                  <c:pt idx="1">
                    <c:v>7</c:v>
                  </c:pt>
                </c:lvl>
                <c:lvl>
                  <c:pt idx="0">
                    <c:v>cotR4</c:v>
                  </c:pt>
                  <c:pt idx="1">
                    <c:v>cotR5</c:v>
                  </c:pt>
                </c:lvl>
              </c:multiLvlStrCache>
            </c:multiLvl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2D3-4C02-894E-753C167C0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1633551"/>
        <c:axId val="1061634383"/>
      </c:barChart>
      <c:catAx>
        <c:axId val="106163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634383"/>
        <c:crosses val="autoZero"/>
        <c:auto val="1"/>
        <c:lblAlgn val="ctr"/>
        <c:lblOffset val="100"/>
        <c:noMultiLvlLbl val="0"/>
      </c:catAx>
      <c:valAx>
        <c:axId val="106163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633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299293F-74E1-4D71-A235-0AB84B497FA8}">
  <sheetPr/>
  <sheetViews>
    <sheetView zoomScale="8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8737C39-C93A-4416-B680-B1B109E3A4FC}">
  <sheetPr/>
  <sheetViews>
    <sheetView zoomScale="8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683" cy="62803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4E1E53-BD7C-4BDF-A40E-24589DFEB69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7683" cy="62803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B5E774-0FC1-4BFB-8F34-45D5A67E75B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A48B1-A138-4096-96E6-1B3DA2243369}">
  <dimension ref="A1:I26"/>
  <sheetViews>
    <sheetView tabSelected="1" topLeftCell="A7" workbookViewId="0">
      <selection activeCell="C27" sqref="C27"/>
    </sheetView>
  </sheetViews>
  <sheetFormatPr defaultRowHeight="14.5" x14ac:dyDescent="0.35"/>
  <cols>
    <col min="4" max="4" width="8.54296875" customWidth="1"/>
    <col min="5" max="6" width="5.7265625" customWidth="1"/>
    <col min="7" max="7" width="12.36328125" customWidth="1"/>
    <col min="8" max="8" width="11.6328125" bestFit="1" customWidth="1"/>
  </cols>
  <sheetData>
    <row r="1" spans="1:9" ht="15" thickBot="1" x14ac:dyDescent="0.4">
      <c r="A1" t="s">
        <v>0</v>
      </c>
      <c r="B1" t="s">
        <v>31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ht="15" thickBot="1" x14ac:dyDescent="0.4">
      <c r="A2" s="1" t="s">
        <v>8</v>
      </c>
      <c r="B2">
        <v>3</v>
      </c>
      <c r="C2">
        <v>73</v>
      </c>
      <c r="D2">
        <v>2380066</v>
      </c>
      <c r="E2">
        <v>0.56818179999999996</v>
      </c>
      <c r="F2">
        <v>0.56818179999999996</v>
      </c>
      <c r="G2">
        <f>D2*E2*F2</f>
        <v>768358.03450276924</v>
      </c>
      <c r="H2">
        <f>G2/C2</f>
        <v>10525.452527435194</v>
      </c>
      <c r="I2">
        <f>C2/G2</f>
        <v>9.5007791578883923E-5</v>
      </c>
    </row>
    <row r="3" spans="1:9" ht="15" thickBot="1" x14ac:dyDescent="0.4">
      <c r="A3" s="1" t="s">
        <v>9</v>
      </c>
      <c r="B3">
        <v>3</v>
      </c>
      <c r="C3">
        <v>94</v>
      </c>
      <c r="D3">
        <v>2564219</v>
      </c>
      <c r="E3">
        <v>0.56818179999999996</v>
      </c>
      <c r="F3">
        <v>0.56818179999999996</v>
      </c>
      <c r="G3">
        <f t="shared" ref="G3:G26" si="0">D3*E3*F3</f>
        <v>827808.25022274873</v>
      </c>
      <c r="H3">
        <f t="shared" ref="H3:H26" si="1">G3/C3</f>
        <v>8806.4707470505182</v>
      </c>
      <c r="I3">
        <f t="shared" ref="I3:I26" si="2">C3/G3</f>
        <v>1.1355286683203054E-4</v>
      </c>
    </row>
    <row r="4" spans="1:9" ht="15" thickBot="1" x14ac:dyDescent="0.4">
      <c r="A4" s="1" t="s">
        <v>10</v>
      </c>
      <c r="B4">
        <v>3</v>
      </c>
      <c r="C4">
        <v>95</v>
      </c>
      <c r="D4">
        <v>2617481</v>
      </c>
      <c r="E4">
        <v>0.56818179999999996</v>
      </c>
      <c r="F4">
        <v>0.56818179999999996</v>
      </c>
      <c r="G4">
        <f t="shared" si="0"/>
        <v>845002.85139502143</v>
      </c>
      <c r="H4">
        <f t="shared" si="1"/>
        <v>8894.7668567896999</v>
      </c>
      <c r="I4">
        <f t="shared" si="2"/>
        <v>1.1242565613022938E-4</v>
      </c>
    </row>
    <row r="5" spans="1:9" ht="15" thickBot="1" x14ac:dyDescent="0.4">
      <c r="A5" s="1" t="s">
        <v>11</v>
      </c>
      <c r="B5">
        <v>3</v>
      </c>
      <c r="C5">
        <v>116</v>
      </c>
      <c r="D5">
        <v>2754355</v>
      </c>
      <c r="E5">
        <v>0.56818179999999996</v>
      </c>
      <c r="F5">
        <v>0.56818179999999996</v>
      </c>
      <c r="G5">
        <f t="shared" si="0"/>
        <v>889189.96117035195</v>
      </c>
      <c r="H5">
        <f t="shared" si="1"/>
        <v>7665.4306997444137</v>
      </c>
      <c r="I5">
        <f t="shared" si="2"/>
        <v>1.3045581379182551E-4</v>
      </c>
    </row>
    <row r="6" spans="1:9" ht="15" thickBot="1" x14ac:dyDescent="0.4">
      <c r="A6" s="1" t="s">
        <v>12</v>
      </c>
      <c r="B6">
        <v>3</v>
      </c>
      <c r="C6">
        <v>106</v>
      </c>
      <c r="D6">
        <v>2760473</v>
      </c>
      <c r="E6">
        <v>0.56818179999999996</v>
      </c>
      <c r="F6">
        <v>0.56818179999999996</v>
      </c>
      <c r="G6">
        <f t="shared" si="0"/>
        <v>891165.03852328588</v>
      </c>
      <c r="H6">
        <f t="shared" si="1"/>
        <v>8407.2173445593016</v>
      </c>
      <c r="I6">
        <f t="shared" si="2"/>
        <v>1.189454202283882E-4</v>
      </c>
    </row>
    <row r="7" spans="1:9" ht="15" thickBot="1" x14ac:dyDescent="0.4">
      <c r="A7" s="1" t="s">
        <v>13</v>
      </c>
      <c r="B7">
        <v>3</v>
      </c>
      <c r="C7">
        <v>112</v>
      </c>
      <c r="D7">
        <v>2946374</v>
      </c>
      <c r="E7">
        <v>0.56818179999999996</v>
      </c>
      <c r="F7">
        <v>0.56818179999999996</v>
      </c>
      <c r="G7">
        <f t="shared" si="0"/>
        <v>951179.5620583893</v>
      </c>
      <c r="H7">
        <f t="shared" si="1"/>
        <v>8492.6746612356183</v>
      </c>
      <c r="I7">
        <f t="shared" si="2"/>
        <v>1.1774853504802781E-4</v>
      </c>
    </row>
    <row r="8" spans="1:9" ht="15" thickBot="1" x14ac:dyDescent="0.4">
      <c r="A8" s="1" t="s">
        <v>14</v>
      </c>
      <c r="B8">
        <v>3</v>
      </c>
      <c r="C8">
        <v>68</v>
      </c>
      <c r="D8">
        <v>1864218</v>
      </c>
      <c r="E8">
        <v>0.56818179999999996</v>
      </c>
      <c r="F8">
        <v>0.56818179999999996</v>
      </c>
      <c r="G8">
        <f t="shared" si="0"/>
        <v>601826.53689632285</v>
      </c>
      <c r="H8">
        <f t="shared" si="1"/>
        <v>8850.3902484753362</v>
      </c>
      <c r="I8">
        <f t="shared" si="2"/>
        <v>1.1298936791767694E-4</v>
      </c>
    </row>
    <row r="9" spans="1:9" ht="15" thickBot="1" x14ac:dyDescent="0.4">
      <c r="A9" s="1" t="s">
        <v>15</v>
      </c>
      <c r="B9">
        <v>3</v>
      </c>
      <c r="C9">
        <v>49</v>
      </c>
      <c r="D9">
        <v>1724112</v>
      </c>
      <c r="E9">
        <v>0.56818179999999996</v>
      </c>
      <c r="F9">
        <v>0.56818179999999996</v>
      </c>
      <c r="G9">
        <f t="shared" si="0"/>
        <v>556596.03875801701</v>
      </c>
      <c r="H9">
        <f t="shared" si="1"/>
        <v>11359.102831796265</v>
      </c>
      <c r="I9">
        <f t="shared" si="2"/>
        <v>8.8035121682393077E-5</v>
      </c>
    </row>
    <row r="10" spans="1:9" ht="15" thickBot="1" x14ac:dyDescent="0.4">
      <c r="A10" s="1" t="s">
        <v>23</v>
      </c>
      <c r="B10">
        <v>3</v>
      </c>
      <c r="C10">
        <v>94</v>
      </c>
      <c r="D10">
        <v>2304564</v>
      </c>
      <c r="E10">
        <v>0.56818179999999996</v>
      </c>
      <c r="F10">
        <v>0.56818179999999996</v>
      </c>
      <c r="G10">
        <f t="shared" si="0"/>
        <v>743983.68172388501</v>
      </c>
      <c r="H10">
        <f t="shared" si="1"/>
        <v>7914.7200183392024</v>
      </c>
      <c r="I10">
        <f t="shared" si="2"/>
        <v>1.2634685720820185E-4</v>
      </c>
    </row>
    <row r="11" spans="1:9" ht="15" thickBot="1" x14ac:dyDescent="0.4">
      <c r="A11" s="1" t="s">
        <v>16</v>
      </c>
      <c r="B11">
        <v>4</v>
      </c>
      <c r="C11">
        <v>247</v>
      </c>
      <c r="D11">
        <v>4501386</v>
      </c>
      <c r="E11">
        <v>0.56818179999999996</v>
      </c>
      <c r="F11">
        <v>0.56818179999999996</v>
      </c>
      <c r="G11">
        <f t="shared" si="0"/>
        <v>1453184.9534837618</v>
      </c>
      <c r="H11">
        <f t="shared" si="1"/>
        <v>5883.3398926468089</v>
      </c>
      <c r="I11">
        <f t="shared" si="2"/>
        <v>1.6997148188732607E-4</v>
      </c>
    </row>
    <row r="12" spans="1:9" ht="15" thickBot="1" x14ac:dyDescent="0.4">
      <c r="A12" s="1" t="s">
        <v>17</v>
      </c>
      <c r="B12">
        <v>4</v>
      </c>
      <c r="C12">
        <v>123</v>
      </c>
      <c r="D12">
        <v>2763283</v>
      </c>
      <c r="E12">
        <v>0.56818179999999996</v>
      </c>
      <c r="F12">
        <v>0.56818179999999996</v>
      </c>
      <c r="G12">
        <f t="shared" si="0"/>
        <v>892072.19239084795</v>
      </c>
      <c r="H12">
        <f t="shared" si="1"/>
        <v>7252.6194503320976</v>
      </c>
      <c r="I12">
        <f t="shared" si="2"/>
        <v>1.3788121751710135E-4</v>
      </c>
    </row>
    <row r="13" spans="1:9" ht="15" thickBot="1" x14ac:dyDescent="0.4">
      <c r="A13" s="1" t="s">
        <v>18</v>
      </c>
      <c r="B13">
        <v>4</v>
      </c>
      <c r="C13">
        <v>190</v>
      </c>
      <c r="D13">
        <v>2946664</v>
      </c>
      <c r="E13">
        <v>0.56818179999999996</v>
      </c>
      <c r="F13">
        <v>0.56818179999999996</v>
      </c>
      <c r="G13">
        <f t="shared" si="0"/>
        <v>951273.18292016617</v>
      </c>
      <c r="H13">
        <f t="shared" si="1"/>
        <v>5006.7009627377165</v>
      </c>
      <c r="I13">
        <f t="shared" si="2"/>
        <v>1.997323202329203E-4</v>
      </c>
    </row>
    <row r="14" spans="1:9" ht="15" thickBot="1" x14ac:dyDescent="0.4">
      <c r="A14" s="1" t="s">
        <v>19</v>
      </c>
      <c r="B14">
        <v>4</v>
      </c>
      <c r="C14">
        <v>255</v>
      </c>
      <c r="D14">
        <v>4042281</v>
      </c>
      <c r="E14">
        <v>0.56818179999999996</v>
      </c>
      <c r="F14">
        <v>0.56818179999999996</v>
      </c>
      <c r="G14">
        <f t="shared" si="0"/>
        <v>1304971.8302214681</v>
      </c>
      <c r="H14">
        <f t="shared" si="1"/>
        <v>5117.5365891037964</v>
      </c>
      <c r="I14">
        <f t="shared" si="2"/>
        <v>1.9540651690291559E-4</v>
      </c>
    </row>
    <row r="15" spans="1:9" ht="15" thickBot="1" x14ac:dyDescent="0.4">
      <c r="A15" s="1" t="s">
        <v>20</v>
      </c>
      <c r="B15">
        <v>4</v>
      </c>
      <c r="C15">
        <v>238</v>
      </c>
      <c r="D15">
        <v>4122281</v>
      </c>
      <c r="E15">
        <v>0.56818179999999996</v>
      </c>
      <c r="F15">
        <v>0.56818179999999996</v>
      </c>
      <c r="G15">
        <f t="shared" si="0"/>
        <v>1330798.2748495673</v>
      </c>
      <c r="H15">
        <f t="shared" si="1"/>
        <v>5591.5893901242325</v>
      </c>
      <c r="I15">
        <f t="shared" si="2"/>
        <v>1.788400274466116E-4</v>
      </c>
    </row>
    <row r="16" spans="1:9" ht="15" thickBot="1" x14ac:dyDescent="0.4">
      <c r="A16" s="1" t="s">
        <v>21</v>
      </c>
      <c r="B16">
        <v>5</v>
      </c>
      <c r="C16">
        <v>387</v>
      </c>
      <c r="D16">
        <v>6633470</v>
      </c>
      <c r="E16">
        <v>0.56818179999999996</v>
      </c>
      <c r="F16">
        <v>0.56818179999999996</v>
      </c>
      <c r="G16">
        <f t="shared" si="0"/>
        <v>2141486.8205894646</v>
      </c>
      <c r="H16">
        <f t="shared" si="1"/>
        <v>5533.557675941769</v>
      </c>
      <c r="I16">
        <f t="shared" si="2"/>
        <v>1.8071556466244074E-4</v>
      </c>
    </row>
    <row r="17" spans="1:9" ht="15" thickBot="1" x14ac:dyDescent="0.4">
      <c r="A17" s="1" t="s">
        <v>22</v>
      </c>
      <c r="B17">
        <v>5</v>
      </c>
      <c r="C17">
        <v>406</v>
      </c>
      <c r="D17">
        <v>6790672</v>
      </c>
      <c r="E17">
        <v>0.56818179999999996</v>
      </c>
      <c r="F17">
        <v>0.56818179999999996</v>
      </c>
      <c r="G17">
        <f t="shared" si="0"/>
        <v>2192236.4299447951</v>
      </c>
      <c r="H17">
        <f t="shared" si="1"/>
        <v>5399.5971180906281</v>
      </c>
      <c r="I17">
        <f t="shared" si="2"/>
        <v>1.8519900246809779E-4</v>
      </c>
    </row>
    <row r="18" spans="1:9" ht="15" thickBot="1" x14ac:dyDescent="0.4">
      <c r="A18" s="1" t="s">
        <v>24</v>
      </c>
      <c r="B18">
        <v>5</v>
      </c>
      <c r="C18">
        <v>279</v>
      </c>
      <c r="D18">
        <v>5030219</v>
      </c>
      <c r="E18">
        <v>0.56818179999999996</v>
      </c>
      <c r="F18">
        <v>0.56818179999999996</v>
      </c>
      <c r="G18">
        <f t="shared" si="0"/>
        <v>1623908.4058839064</v>
      </c>
      <c r="H18">
        <f t="shared" si="1"/>
        <v>5820.4602361430334</v>
      </c>
      <c r="I18">
        <f t="shared" si="2"/>
        <v>1.7180771956663284E-4</v>
      </c>
    </row>
    <row r="19" spans="1:9" x14ac:dyDescent="0.35">
      <c r="A19" t="s">
        <v>25</v>
      </c>
      <c r="B19">
        <v>5</v>
      </c>
      <c r="C19">
        <v>299</v>
      </c>
      <c r="D19">
        <v>5075535</v>
      </c>
      <c r="E19">
        <v>0.56818179999999996</v>
      </c>
      <c r="F19">
        <v>0.56818179999999996</v>
      </c>
      <c r="G19">
        <f t="shared" si="0"/>
        <v>1638537.7954434932</v>
      </c>
      <c r="H19">
        <f t="shared" si="1"/>
        <v>5480.0595165334216</v>
      </c>
      <c r="I19">
        <f t="shared" si="2"/>
        <v>1.8247976997019558E-4</v>
      </c>
    </row>
    <row r="20" spans="1:9" x14ac:dyDescent="0.35">
      <c r="A20" t="s">
        <v>26</v>
      </c>
      <c r="B20">
        <v>5</v>
      </c>
      <c r="C20">
        <v>237</v>
      </c>
      <c r="D20">
        <v>3703476</v>
      </c>
      <c r="E20">
        <v>0.56818179999999996</v>
      </c>
      <c r="F20">
        <v>0.56818179999999996</v>
      </c>
      <c r="G20">
        <f t="shared" si="0"/>
        <v>1195595.2230686788</v>
      </c>
      <c r="H20">
        <f t="shared" si="1"/>
        <v>5044.7055825682646</v>
      </c>
      <c r="I20">
        <f t="shared" si="2"/>
        <v>1.9822762372009408E-4</v>
      </c>
    </row>
    <row r="21" spans="1:9" x14ac:dyDescent="0.35">
      <c r="A21" t="s">
        <v>27</v>
      </c>
      <c r="B21">
        <v>5</v>
      </c>
      <c r="C21">
        <v>214</v>
      </c>
      <c r="D21">
        <v>3496639</v>
      </c>
      <c r="E21">
        <v>0.56818179999999996</v>
      </c>
      <c r="F21">
        <v>0.56818179999999996</v>
      </c>
      <c r="G21">
        <f t="shared" si="0"/>
        <v>1128821.9189744019</v>
      </c>
      <c r="H21">
        <f t="shared" si="1"/>
        <v>5274.8687802542145</v>
      </c>
      <c r="I21">
        <f t="shared" si="2"/>
        <v>1.8957817562085524E-4</v>
      </c>
    </row>
    <row r="22" spans="1:9" x14ac:dyDescent="0.35">
      <c r="A22" t="s">
        <v>26</v>
      </c>
      <c r="B22">
        <v>7</v>
      </c>
      <c r="C22">
        <v>425</v>
      </c>
      <c r="D22">
        <v>5532884</v>
      </c>
      <c r="E22">
        <v>0.56818179999999996</v>
      </c>
      <c r="F22">
        <v>0.56818179999999996</v>
      </c>
      <c r="G22">
        <f t="shared" si="0"/>
        <v>1786184.0282461999</v>
      </c>
      <c r="H22">
        <f t="shared" si="1"/>
        <v>4202.7859488145878</v>
      </c>
      <c r="I22">
        <f t="shared" si="2"/>
        <v>2.3793740918022575E-4</v>
      </c>
    </row>
    <row r="23" spans="1:9" x14ac:dyDescent="0.35">
      <c r="A23" t="s">
        <v>27</v>
      </c>
      <c r="B23">
        <v>7</v>
      </c>
      <c r="C23">
        <v>256</v>
      </c>
      <c r="D23">
        <v>5744110</v>
      </c>
      <c r="E23">
        <v>0.56818179999999996</v>
      </c>
      <c r="F23">
        <v>0.56818179999999996</v>
      </c>
      <c r="G23">
        <f t="shared" si="0"/>
        <v>1854374.2356588859</v>
      </c>
      <c r="H23">
        <f t="shared" si="1"/>
        <v>7243.6493580425231</v>
      </c>
      <c r="I23">
        <f t="shared" si="2"/>
        <v>1.3805196118303462E-4</v>
      </c>
    </row>
    <row r="24" spans="1:9" x14ac:dyDescent="0.35">
      <c r="A24" t="s">
        <v>28</v>
      </c>
      <c r="B24">
        <v>7</v>
      </c>
      <c r="C24">
        <v>255</v>
      </c>
      <c r="D24">
        <v>5428092</v>
      </c>
      <c r="E24">
        <v>0.56818179999999996</v>
      </c>
      <c r="F24">
        <v>0.56818179999999996</v>
      </c>
      <c r="G24">
        <f t="shared" si="0"/>
        <v>1752353.9684278527</v>
      </c>
      <c r="H24">
        <f t="shared" si="1"/>
        <v>6871.976346775893</v>
      </c>
      <c r="I24">
        <f t="shared" si="2"/>
        <v>1.4551854510808486E-4</v>
      </c>
    </row>
    <row r="25" spans="1:9" x14ac:dyDescent="0.35">
      <c r="A25" t="s">
        <v>29</v>
      </c>
      <c r="B25">
        <v>7</v>
      </c>
      <c r="C25">
        <v>295</v>
      </c>
      <c r="D25">
        <v>6706130</v>
      </c>
      <c r="E25">
        <v>0.56818179999999996</v>
      </c>
      <c r="F25">
        <v>0.56818179999999996</v>
      </c>
      <c r="G25">
        <f t="shared" si="0"/>
        <v>2164943.6889229356</v>
      </c>
      <c r="H25">
        <f t="shared" si="1"/>
        <v>7338.7921658404593</v>
      </c>
      <c r="I25">
        <f t="shared" si="2"/>
        <v>1.3626220465196633E-4</v>
      </c>
    </row>
    <row r="26" spans="1:9" x14ac:dyDescent="0.35">
      <c r="A26" t="s">
        <v>30</v>
      </c>
      <c r="B26">
        <v>7</v>
      </c>
      <c r="C26">
        <v>309</v>
      </c>
      <c r="D26">
        <v>6302326</v>
      </c>
      <c r="E26">
        <v>0.56818179999999996</v>
      </c>
      <c r="F26">
        <v>0.56818179999999996</v>
      </c>
      <c r="G26">
        <f t="shared" si="0"/>
        <v>2034583.4183403738</v>
      </c>
      <c r="H26">
        <f t="shared" si="1"/>
        <v>6584.4123570885886</v>
      </c>
      <c r="I26">
        <f t="shared" si="2"/>
        <v>1.5187384169878561E-4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Sheet1</vt:lpstr>
      <vt:lpstr>Chart2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Angres, Gabriel</dc:creator>
  <cp:lastModifiedBy>Angres, Gabriel</cp:lastModifiedBy>
  <dcterms:created xsi:type="dcterms:W3CDTF">2025-10-15T20:53:57Z</dcterms:created>
  <dcterms:modified xsi:type="dcterms:W3CDTF">2025-10-15T22:54:45Z</dcterms:modified>
</cp:coreProperties>
</file>